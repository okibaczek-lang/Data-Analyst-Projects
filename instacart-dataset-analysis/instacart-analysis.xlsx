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2PEPF00000484\EXCELCNV\9daa0dd3-8b48-478c-9254-1ff9d7876d5d\"/>
    </mc:Choice>
  </mc:AlternateContent>
  <xr:revisionPtr revIDLastSave="0" documentId="8_{1BC68463-4F2F-43B0-B94C-7B9D485E42F3}" xr6:coauthVersionLast="47" xr6:coauthVersionMax="47" xr10:uidLastSave="{00000000-0000-0000-0000-000000000000}"/>
  <bookViews>
    <workbookView xWindow="-60" yWindow="-60" windowWidth="15480" windowHeight="11640" xr2:uid="{50AAA738-45EB-4AD8-81BD-38B843D29B56}"/>
  </bookViews>
  <sheets>
    <sheet name="q1_reorder_rate" sheetId="1" r:id="rId1"/>
    <sheet name="q2_top_3_p" sheetId="3" r:id="rId2"/>
    <sheet name="q3_avg_items_per_order" sheetId="4" r:id="rId3"/>
    <sheet name="q4_basket_size" sheetId="5" r:id="rId4"/>
    <sheet name="q5_lowest_reorder" sheetId="6" r:id="rId5"/>
    <sheet name="q5_highest_reorder" sheetId="8" r:id="rId6"/>
  </sheets>
  <calcPr calcId="191028"/>
  <pivotCaches>
    <pivotCache cacheId="222" r:id="rId7"/>
    <pivotCache cacheId="23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<sst xmlns="http://schemas.openxmlformats.org/spreadsheetml/2006/main" count="106" uniqueCount="76">
  <si>
    <t>department_name</t>
  </si>
  <si>
    <t>reorder_rate</t>
  </si>
  <si>
    <t>department_id</t>
  </si>
  <si>
    <t>dairy eggs</t>
  </si>
  <si>
    <t>produce</t>
  </si>
  <si>
    <t>beverages</t>
  </si>
  <si>
    <t>bakery</t>
  </si>
  <si>
    <t>deli</t>
  </si>
  <si>
    <t>pets</t>
  </si>
  <si>
    <t>bulk</t>
  </si>
  <si>
    <t>babies</t>
  </si>
  <si>
    <t>alcohol</t>
  </si>
  <si>
    <t>meat seafood</t>
  </si>
  <si>
    <t>snacks</t>
  </si>
  <si>
    <t>breakfast</t>
  </si>
  <si>
    <t>frozen</t>
  </si>
  <si>
    <t>dry goods pasta</t>
  </si>
  <si>
    <t>canned goods</t>
  </si>
  <si>
    <t>other</t>
  </si>
  <si>
    <t>household</t>
  </si>
  <si>
    <t>missing</t>
  </si>
  <si>
    <t>international</t>
  </si>
  <si>
    <t>pantry</t>
  </si>
  <si>
    <t>personal care</t>
  </si>
  <si>
    <t>product_name</t>
  </si>
  <si>
    <t>Suma z agregacja</t>
  </si>
  <si>
    <t>Blueberries</t>
  </si>
  <si>
    <t>Organic Broccoli Florets</t>
  </si>
  <si>
    <t>Organic Whole Strawberries</t>
  </si>
  <si>
    <t>frozen Suma</t>
  </si>
  <si>
    <t>Organic Extra Firm Tofu</t>
  </si>
  <si>
    <t>Original Hummus</t>
  </si>
  <si>
    <t>Uncured Genoa Salami</t>
  </si>
  <si>
    <t>deli Suma</t>
  </si>
  <si>
    <t>Lime Sparkling Water</t>
  </si>
  <si>
    <t>Sparkling Water Grapefruit</t>
  </si>
  <si>
    <t>Spring Water</t>
  </si>
  <si>
    <t>beverages Suma</t>
  </si>
  <si>
    <t>Half &amp; Half</t>
  </si>
  <si>
    <t>Organic Half &amp; Half</t>
  </si>
  <si>
    <t>Organic Whole Milk</t>
  </si>
  <si>
    <t>dairy eggs Suma</t>
  </si>
  <si>
    <t>Bag of Organic Bananas</t>
  </si>
  <si>
    <t>Banana</t>
  </si>
  <si>
    <t>Organic Strawberries</t>
  </si>
  <si>
    <t>produce Suma</t>
  </si>
  <si>
    <t>avg_items_per_order</t>
  </si>
  <si>
    <t>avg_basket</t>
  </si>
  <si>
    <t>min_basket</t>
  </si>
  <si>
    <t>max_basket</t>
  </si>
  <si>
    <t>median_basket_size</t>
  </si>
  <si>
    <t>product_id</t>
  </si>
  <si>
    <t>total_orders</t>
  </si>
  <si>
    <t>Organic Castor Oil Skin Care</t>
  </si>
  <si>
    <t>Nonpareil Decorating Decors</t>
  </si>
  <si>
    <t>Whole Cumin Seed</t>
  </si>
  <si>
    <t>Vicks DayQuil and NyQuil Cold &amp; Flu Relief Combo</t>
  </si>
  <si>
    <t>Organic Whole Rosemary</t>
  </si>
  <si>
    <t>Lemon Verbena Scent Glass Cleaner</t>
  </si>
  <si>
    <t>Ground Sage</t>
  </si>
  <si>
    <t>Round Cake Pan</t>
  </si>
  <si>
    <t>Organic Lemongrass</t>
  </si>
  <si>
    <t>Allspice, Ground, Organic</t>
  </si>
  <si>
    <t>product name</t>
  </si>
  <si>
    <t>reorder rate</t>
  </si>
  <si>
    <t>total orders</t>
  </si>
  <si>
    <t>Bars Peanut Butter</t>
  </si>
  <si>
    <t>Beer Can</t>
  </si>
  <si>
    <t>Benchbreak Chardonnay</t>
  </si>
  <si>
    <t>Chocolate Love Bar</t>
  </si>
  <si>
    <t>Maca Buttercups</t>
  </si>
  <si>
    <t>Organic Blueberry B Mega</t>
  </si>
  <si>
    <t>Raw Veggie Wrappers</t>
  </si>
  <si>
    <t>Serenity Ultimate Extrema Overnight Pads</t>
  </si>
  <si>
    <t>Soy Crisps Lightly Salted</t>
  </si>
  <si>
    <t>Sparking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</si>
</sst>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49" fontId="0" fillId="0" borderId="0" xfId="0" applyNumberFormat="1"/>
    <xf numFmtId="0" fontId="18" fillId="0" borderId="0" xfId="0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Reorder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reorder rate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q1_reorder_rate!$A$2:$A$22</c:f>
              <c:strCache>
                <c:ptCount val="21"/>
                <c:pt idx="0">
                  <c:v>dairy eggs</c:v>
                </c:pt>
                <c:pt idx="1">
                  <c:v>produce</c:v>
                </c:pt>
                <c:pt idx="2">
                  <c:v>beverages</c:v>
                </c:pt>
                <c:pt idx="3">
                  <c:v>bakery</c:v>
                </c:pt>
                <c:pt idx="4">
                  <c:v>deli</c:v>
                </c:pt>
                <c:pt idx="5">
                  <c:v>pets</c:v>
                </c:pt>
                <c:pt idx="6">
                  <c:v>bulk</c:v>
                </c:pt>
                <c:pt idx="7">
                  <c:v>babies</c:v>
                </c:pt>
                <c:pt idx="8">
                  <c:v>alcohol</c:v>
                </c:pt>
                <c:pt idx="9">
                  <c:v>meat seafood</c:v>
                </c:pt>
                <c:pt idx="10">
                  <c:v>snacks</c:v>
                </c:pt>
                <c:pt idx="11">
                  <c:v>breakfast</c:v>
                </c:pt>
                <c:pt idx="12">
                  <c:v>frozen</c:v>
                </c:pt>
                <c:pt idx="13">
                  <c:v>dry goods pasta</c:v>
                </c:pt>
                <c:pt idx="14">
                  <c:v>canned goods</c:v>
                </c:pt>
                <c:pt idx="15">
                  <c:v>other</c:v>
                </c:pt>
                <c:pt idx="16">
                  <c:v>household</c:v>
                </c:pt>
                <c:pt idx="17">
                  <c:v>missing</c:v>
                </c:pt>
                <c:pt idx="18">
                  <c:v>international</c:v>
                </c:pt>
                <c:pt idx="19">
                  <c:v>pantry</c:v>
                </c:pt>
                <c:pt idx="20">
                  <c:v>personal care</c:v>
                </c:pt>
              </c:strCache>
            </c:strRef>
          </c:cat>
          <c:val>
            <c:numRef>
              <c:f>q1_reorder_rate!$B$2:$B$22</c:f>
              <c:numCache>
                <c:formatCode>General</c:formatCode>
                <c:ptCount val="21"/>
                <c:pt idx="0">
                  <c:v>0.67</c:v>
                </c:pt>
                <c:pt idx="1">
                  <c:v>0.65</c:v>
                </c:pt>
                <c:pt idx="2">
                  <c:v>0.65</c:v>
                </c:pt>
                <c:pt idx="3">
                  <c:v>0.63</c:v>
                </c:pt>
                <c:pt idx="4">
                  <c:v>0.61</c:v>
                </c:pt>
                <c:pt idx="5">
                  <c:v>0.6</c:v>
                </c:pt>
                <c:pt idx="6">
                  <c:v>0.57999999999999996</c:v>
                </c:pt>
                <c:pt idx="7">
                  <c:v>0.57999999999999996</c:v>
                </c:pt>
                <c:pt idx="8">
                  <c:v>0.56999999999999995</c:v>
                </c:pt>
                <c:pt idx="9">
                  <c:v>0.56999999999999995</c:v>
                </c:pt>
                <c:pt idx="10">
                  <c:v>0.56999999999999995</c:v>
                </c:pt>
                <c:pt idx="11">
                  <c:v>0.56000000000000005</c:v>
                </c:pt>
                <c:pt idx="12">
                  <c:v>0.54</c:v>
                </c:pt>
                <c:pt idx="13">
                  <c:v>0.46</c:v>
                </c:pt>
                <c:pt idx="14">
                  <c:v>0.46</c:v>
                </c:pt>
                <c:pt idx="15">
                  <c:v>0.41</c:v>
                </c:pt>
                <c:pt idx="16">
                  <c:v>0.4</c:v>
                </c:pt>
                <c:pt idx="17">
                  <c:v>0.4</c:v>
                </c:pt>
                <c:pt idx="18">
                  <c:v>0.37</c:v>
                </c:pt>
                <c:pt idx="19">
                  <c:v>0.35</c:v>
                </c:pt>
                <c:pt idx="20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1-4F19-B4CF-E656AD05D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3387015"/>
        <c:axId val="1433389063"/>
      </c:barChart>
      <c:catAx>
        <c:axId val="14333870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389063"/>
        <c:crosses val="autoZero"/>
        <c:auto val="1"/>
        <c:lblAlgn val="ctr"/>
        <c:lblOffset val="100"/>
        <c:noMultiLvlLbl val="0"/>
      </c:catAx>
      <c:valAx>
        <c:axId val="14333890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387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[reorder_rate2.xlsx]q2_top_3_p!Tabela przestawna1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selling products in top 5 departments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q2_top_3_p!$C$3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q2_top_3_p!$A$4:$B$23</c:f>
              <c:multiLvlStrCache>
                <c:ptCount val="15"/>
                <c:lvl>
                  <c:pt idx="0">
                    <c:v>Blueberries</c:v>
                  </c:pt>
                  <c:pt idx="1">
                    <c:v>Organic Broccoli Florets</c:v>
                  </c:pt>
                  <c:pt idx="2">
                    <c:v>Organic Whole Strawberries</c:v>
                  </c:pt>
                  <c:pt idx="3">
                    <c:v>Organic Extra Firm Tofu</c:v>
                  </c:pt>
                  <c:pt idx="4">
                    <c:v>Original Hummus</c:v>
                  </c:pt>
                  <c:pt idx="5">
                    <c:v>Uncured Genoa Salami</c:v>
                  </c:pt>
                  <c:pt idx="6">
                    <c:v>Lime Sparkling Water</c:v>
                  </c:pt>
                  <c:pt idx="7">
                    <c:v>Sparkling Water Grapefruit</c:v>
                  </c:pt>
                  <c:pt idx="8">
                    <c:v>Spring Water</c:v>
                  </c:pt>
                  <c:pt idx="9">
                    <c:v>Half &amp; Half</c:v>
                  </c:pt>
                  <c:pt idx="10">
                    <c:v>Organic Half &amp; Half</c:v>
                  </c:pt>
                  <c:pt idx="11">
                    <c:v>Organic Whole Milk</c:v>
                  </c:pt>
                  <c:pt idx="12">
                    <c:v>Bag of Organic Bananas</c:v>
                  </c:pt>
                  <c:pt idx="13">
                    <c:v>Banana</c:v>
                  </c:pt>
                  <c:pt idx="14">
                    <c:v>Organic Strawberries</c:v>
                  </c:pt>
                </c:lvl>
                <c:lvl>
                  <c:pt idx="0">
                    <c:v>frozen</c:v>
                  </c:pt>
                  <c:pt idx="3">
                    <c:v>deli</c:v>
                  </c:pt>
                  <c:pt idx="6">
                    <c:v>beverages</c:v>
                  </c:pt>
                  <c:pt idx="9">
                    <c:v>dairy eggs</c:v>
                  </c:pt>
                  <c:pt idx="12">
                    <c:v>produce</c:v>
                  </c:pt>
                </c:lvl>
              </c:multiLvlStrCache>
            </c:multiLvlStrRef>
          </c:cat>
          <c:val>
            <c:numRef>
              <c:f>q2_top_3_p!$C$4:$C$23</c:f>
              <c:numCache>
                <c:formatCode>General</c:formatCode>
                <c:ptCount val="15"/>
                <c:pt idx="0">
                  <c:v>55946</c:v>
                </c:pt>
                <c:pt idx="1">
                  <c:v>32887</c:v>
                </c:pt>
                <c:pt idx="2">
                  <c:v>31445</c:v>
                </c:pt>
                <c:pt idx="3">
                  <c:v>29124</c:v>
                </c:pt>
                <c:pt idx="4">
                  <c:v>71314</c:v>
                </c:pt>
                <c:pt idx="5">
                  <c:v>41473</c:v>
                </c:pt>
                <c:pt idx="6">
                  <c:v>46546</c:v>
                </c:pt>
                <c:pt idx="7">
                  <c:v>75886</c:v>
                </c:pt>
                <c:pt idx="8">
                  <c:v>56087</c:v>
                </c:pt>
                <c:pt idx="9">
                  <c:v>69217</c:v>
                </c:pt>
                <c:pt idx="10">
                  <c:v>76360</c:v>
                </c:pt>
                <c:pt idx="11">
                  <c:v>137905</c:v>
                </c:pt>
                <c:pt idx="12">
                  <c:v>379450</c:v>
                </c:pt>
                <c:pt idx="13">
                  <c:v>472565</c:v>
                </c:pt>
                <c:pt idx="14">
                  <c:v>264683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61-4B18-AC27-0E9C8B416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0534023"/>
        <c:axId val="1389446151"/>
      </c:barChart>
      <c:catAx>
        <c:axId val="13605340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446151"/>
        <c:crosses val="autoZero"/>
        <c:auto val="1"/>
        <c:lblAlgn val="ctr"/>
        <c:lblOffset val="100"/>
        <c:noMultiLvlLbl val="0"/>
      </c:catAx>
      <c:valAx>
        <c:axId val="138944615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34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items per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q3_avg_items_per_order!$B$1</c:f>
              <c:strCache>
                <c:ptCount val="1"/>
                <c:pt idx="0">
                  <c:v>avg_items_per_order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q3_avg_items_per_order!$A$2:$A$22</c:f>
              <c:strCache>
                <c:ptCount val="21"/>
                <c:pt idx="0">
                  <c:v>produce</c:v>
                </c:pt>
                <c:pt idx="1">
                  <c:v>dairy eggs</c:v>
                </c:pt>
                <c:pt idx="2">
                  <c:v>babies</c:v>
                </c:pt>
                <c:pt idx="3">
                  <c:v>snacks</c:v>
                </c:pt>
                <c:pt idx="4">
                  <c:v>frozen</c:v>
                </c:pt>
                <c:pt idx="5">
                  <c:v>beverages</c:v>
                </c:pt>
                <c:pt idx="6">
                  <c:v>alcohol</c:v>
                </c:pt>
                <c:pt idx="7">
                  <c:v>pantry</c:v>
                </c:pt>
                <c:pt idx="8">
                  <c:v>pets</c:v>
                </c:pt>
                <c:pt idx="9">
                  <c:v>canned goods</c:v>
                </c:pt>
                <c:pt idx="10">
                  <c:v>household</c:v>
                </c:pt>
                <c:pt idx="11">
                  <c:v>dry goods pasta</c:v>
                </c:pt>
                <c:pt idx="12">
                  <c:v>personal care</c:v>
                </c:pt>
                <c:pt idx="13">
                  <c:v>deli</c:v>
                </c:pt>
                <c:pt idx="14">
                  <c:v>breakfast</c:v>
                </c:pt>
                <c:pt idx="15">
                  <c:v>bakery</c:v>
                </c:pt>
                <c:pt idx="16">
                  <c:v>meat seafood</c:v>
                </c:pt>
                <c:pt idx="17">
                  <c:v>international</c:v>
                </c:pt>
                <c:pt idx="18">
                  <c:v>missing</c:v>
                </c:pt>
                <c:pt idx="19">
                  <c:v>other</c:v>
                </c:pt>
                <c:pt idx="20">
                  <c:v>bulk</c:v>
                </c:pt>
              </c:strCache>
            </c:strRef>
          </c:cat>
          <c:val>
            <c:numRef>
              <c:f>q3_avg_items_per_order!$B$2:$B$22</c:f>
              <c:numCache>
                <c:formatCode>General</c:formatCode>
                <c:ptCount val="21"/>
                <c:pt idx="0">
                  <c:v>3.93</c:v>
                </c:pt>
                <c:pt idx="1">
                  <c:v>2.4900000000000002</c:v>
                </c:pt>
                <c:pt idx="2">
                  <c:v>2.38</c:v>
                </c:pt>
                <c:pt idx="3">
                  <c:v>2.08</c:v>
                </c:pt>
                <c:pt idx="4">
                  <c:v>1.89</c:v>
                </c:pt>
                <c:pt idx="5">
                  <c:v>1.85</c:v>
                </c:pt>
                <c:pt idx="6">
                  <c:v>1.81</c:v>
                </c:pt>
                <c:pt idx="7">
                  <c:v>1.68</c:v>
                </c:pt>
                <c:pt idx="8">
                  <c:v>1.65</c:v>
                </c:pt>
                <c:pt idx="9">
                  <c:v>1.57</c:v>
                </c:pt>
                <c:pt idx="10">
                  <c:v>1.57</c:v>
                </c:pt>
                <c:pt idx="11">
                  <c:v>1.45</c:v>
                </c:pt>
                <c:pt idx="12">
                  <c:v>1.4</c:v>
                </c:pt>
                <c:pt idx="13">
                  <c:v>1.36</c:v>
                </c:pt>
                <c:pt idx="14">
                  <c:v>1.35</c:v>
                </c:pt>
                <c:pt idx="15">
                  <c:v>1.33</c:v>
                </c:pt>
                <c:pt idx="16">
                  <c:v>1.23</c:v>
                </c:pt>
                <c:pt idx="17">
                  <c:v>1.22</c:v>
                </c:pt>
                <c:pt idx="18">
                  <c:v>1.1599999999999999</c:v>
                </c:pt>
                <c:pt idx="19">
                  <c:v>1.04</c:v>
                </c:pt>
                <c:pt idx="20">
                  <c:v>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D-431D-ACEB-50CE2CA23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5046535"/>
        <c:axId val="1385062919"/>
      </c:barChart>
      <c:catAx>
        <c:axId val="13850465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062919"/>
        <c:crosses val="autoZero"/>
        <c:auto val="1"/>
        <c:lblAlgn val="ctr"/>
        <c:lblOffset val="100"/>
        <c:noMultiLvlLbl val="0"/>
      </c:catAx>
      <c:valAx>
        <c:axId val="138506291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046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orders with their reorder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orders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q5_lowest_reorder!$B$2:$B$11</c:f>
              <c:strCache>
                <c:ptCount val="10"/>
                <c:pt idx="0">
                  <c:v>Organic Castor Oil Skin Care</c:v>
                </c:pt>
                <c:pt idx="1">
                  <c:v>Nonpareil Decorating Decors</c:v>
                </c:pt>
                <c:pt idx="2">
                  <c:v>Whole Cumin Seed</c:v>
                </c:pt>
                <c:pt idx="3">
                  <c:v>Vicks DayQuil and NyQuil Cold &amp; Flu Relief Combo</c:v>
                </c:pt>
                <c:pt idx="4">
                  <c:v>Organic Whole Rosemary</c:v>
                </c:pt>
                <c:pt idx="5">
                  <c:v>Lemon Verbena Scent Glass Cleaner</c:v>
                </c:pt>
                <c:pt idx="6">
                  <c:v>Ground Sage</c:v>
                </c:pt>
                <c:pt idx="7">
                  <c:v>Round Cake Pan</c:v>
                </c:pt>
                <c:pt idx="8">
                  <c:v>Organic Lemongrass</c:v>
                </c:pt>
                <c:pt idx="9">
                  <c:v>Allspice, Ground, Organic</c:v>
                </c:pt>
              </c:strCache>
            </c:strRef>
          </c:cat>
          <c:val>
            <c:numRef>
              <c:f>q5_lowest_reorder!$C$2:$C$11</c:f>
              <c:numCache>
                <c:formatCode>General</c:formatCode>
                <c:ptCount val="10"/>
                <c:pt idx="0">
                  <c:v>67</c:v>
                </c:pt>
                <c:pt idx="1">
                  <c:v>51</c:v>
                </c:pt>
                <c:pt idx="2">
                  <c:v>52</c:v>
                </c:pt>
                <c:pt idx="3">
                  <c:v>88</c:v>
                </c:pt>
                <c:pt idx="4">
                  <c:v>63</c:v>
                </c:pt>
                <c:pt idx="5">
                  <c:v>53</c:v>
                </c:pt>
                <c:pt idx="6">
                  <c:v>203</c:v>
                </c:pt>
                <c:pt idx="7">
                  <c:v>51</c:v>
                </c:pt>
                <c:pt idx="8">
                  <c:v>52</c:v>
                </c:pt>
                <c:pt idx="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B-44D3-BBF6-DCBDEE5CD942}"/>
            </c:ext>
          </c:extLst>
        </c:ser>
        <c:ser>
          <c:idx val="1"/>
          <c:order val="1"/>
          <c:tx>
            <c:v>reorder rate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q5_lowest_reorder!$B$2:$B$11</c:f>
              <c:strCache>
                <c:ptCount val="10"/>
                <c:pt idx="0">
                  <c:v>Organic Castor Oil Skin Care</c:v>
                </c:pt>
                <c:pt idx="1">
                  <c:v>Nonpareil Decorating Decors</c:v>
                </c:pt>
                <c:pt idx="2">
                  <c:v>Whole Cumin Seed</c:v>
                </c:pt>
                <c:pt idx="3">
                  <c:v>Vicks DayQuil and NyQuil Cold &amp; Flu Relief Combo</c:v>
                </c:pt>
                <c:pt idx="4">
                  <c:v>Organic Whole Rosemary</c:v>
                </c:pt>
                <c:pt idx="5">
                  <c:v>Lemon Verbena Scent Glass Cleaner</c:v>
                </c:pt>
                <c:pt idx="6">
                  <c:v>Ground Sage</c:v>
                </c:pt>
                <c:pt idx="7">
                  <c:v>Round Cake Pan</c:v>
                </c:pt>
                <c:pt idx="8">
                  <c:v>Organic Lemongrass</c:v>
                </c:pt>
                <c:pt idx="9">
                  <c:v>Allspice, Ground, Organic</c:v>
                </c:pt>
              </c:strCache>
            </c:strRef>
          </c:cat>
          <c:val>
            <c:numRef>
              <c:f>q5_lowest_reorder!$D$2:$D$11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2B-44D3-BBF6-DCBDEE5CD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22983"/>
        <c:axId val="1461416967"/>
      </c:barChart>
      <c:catAx>
        <c:axId val="1417022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416967"/>
        <c:crosses val="autoZero"/>
        <c:auto val="1"/>
        <c:lblAlgn val="ctr"/>
        <c:lblOffset val="100"/>
        <c:noMultiLvlLbl val="0"/>
      </c:catAx>
      <c:valAx>
        <c:axId val="1461416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022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[reorder_rate2.xlsx]q5_highest_reorder!Tabela przestawna3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names with their total orders and reorder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q5_highest_reorder!$B$3</c:f>
              <c:strCache>
                <c:ptCount val="1"/>
                <c:pt idx="0">
                  <c:v>reorder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q5_highest_reorder!$A$4:$A$13</c:f>
              <c:strCache>
                <c:ptCount val="10"/>
                <c:pt idx="0">
                  <c:v>Bars Peanut Butter</c:v>
                </c:pt>
                <c:pt idx="1">
                  <c:v>Beer Can</c:v>
                </c:pt>
                <c:pt idx="2">
                  <c:v>Benchbreak Chardonnay</c:v>
                </c:pt>
                <c:pt idx="3">
                  <c:v>Chocolate Love Bar</c:v>
                </c:pt>
                <c:pt idx="4">
                  <c:v>Maca Buttercups</c:v>
                </c:pt>
                <c:pt idx="5">
                  <c:v>Organic Blueberry B Mega</c:v>
                </c:pt>
                <c:pt idx="6">
                  <c:v>Raw Veggie Wrappers</c:v>
                </c:pt>
                <c:pt idx="7">
                  <c:v>Serenity Ultimate Extrema Overnight Pads</c:v>
                </c:pt>
                <c:pt idx="8">
                  <c:v>Soy Crisps Lightly Salted</c:v>
                </c:pt>
                <c:pt idx="9">
                  <c:v>Sparking Water</c:v>
                </c:pt>
              </c:strCache>
            </c:strRef>
          </c:cat>
          <c:val>
            <c:numRef>
              <c:f>q5_highest_reorder!$B$4:$B$13</c:f>
              <c:numCache>
                <c:formatCode>General</c:formatCode>
                <c:ptCount val="10"/>
                <c:pt idx="0">
                  <c:v>0.9</c:v>
                </c:pt>
                <c:pt idx="1">
                  <c:v>0.88</c:v>
                </c:pt>
                <c:pt idx="2">
                  <c:v>0.89</c:v>
                </c:pt>
                <c:pt idx="3">
                  <c:v>0.92</c:v>
                </c:pt>
                <c:pt idx="4">
                  <c:v>0.9</c:v>
                </c:pt>
                <c:pt idx="5">
                  <c:v>0.89</c:v>
                </c:pt>
                <c:pt idx="6">
                  <c:v>0.94</c:v>
                </c:pt>
                <c:pt idx="7">
                  <c:v>0.93</c:v>
                </c:pt>
                <c:pt idx="8">
                  <c:v>0.89</c:v>
                </c:pt>
                <c:pt idx="9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5-4FD4-9DC7-CD6B94417AE0}"/>
            </c:ext>
          </c:extLst>
        </c:ser>
        <c:ser>
          <c:idx val="1"/>
          <c:order val="1"/>
          <c:tx>
            <c:strRef>
              <c:f>q5_highest_reorder!$C$3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q5_highest_reorder!$A$4:$A$13</c:f>
              <c:strCache>
                <c:ptCount val="10"/>
                <c:pt idx="0">
                  <c:v>Bars Peanut Butter</c:v>
                </c:pt>
                <c:pt idx="1">
                  <c:v>Beer Can</c:v>
                </c:pt>
                <c:pt idx="2">
                  <c:v>Benchbreak Chardonnay</c:v>
                </c:pt>
                <c:pt idx="3">
                  <c:v>Chocolate Love Bar</c:v>
                </c:pt>
                <c:pt idx="4">
                  <c:v>Maca Buttercups</c:v>
                </c:pt>
                <c:pt idx="5">
                  <c:v>Organic Blueberry B Mega</c:v>
                </c:pt>
                <c:pt idx="6">
                  <c:v>Raw Veggie Wrappers</c:v>
                </c:pt>
                <c:pt idx="7">
                  <c:v>Serenity Ultimate Extrema Overnight Pads</c:v>
                </c:pt>
                <c:pt idx="8">
                  <c:v>Soy Crisps Lightly Salted</c:v>
                </c:pt>
                <c:pt idx="9">
                  <c:v>Sparking Water</c:v>
                </c:pt>
              </c:strCache>
            </c:strRef>
          </c:cat>
          <c:val>
            <c:numRef>
              <c:f>q5_highest_reorder!$C$4:$C$13</c:f>
              <c:numCache>
                <c:formatCode>General</c:formatCode>
                <c:ptCount val="10"/>
                <c:pt idx="0">
                  <c:v>67</c:v>
                </c:pt>
                <c:pt idx="1">
                  <c:v>52</c:v>
                </c:pt>
                <c:pt idx="2">
                  <c:v>111</c:v>
                </c:pt>
                <c:pt idx="3">
                  <c:v>101</c:v>
                </c:pt>
                <c:pt idx="4">
                  <c:v>100</c:v>
                </c:pt>
                <c:pt idx="5">
                  <c:v>96</c:v>
                </c:pt>
                <c:pt idx="6">
                  <c:v>68</c:v>
                </c:pt>
                <c:pt idx="7">
                  <c:v>87</c:v>
                </c:pt>
                <c:pt idx="8">
                  <c:v>66</c:v>
                </c:pt>
                <c:pt idx="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55-4FD4-9DC7-CD6B94417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6290311"/>
        <c:axId val="1816316935"/>
      </c:barChart>
      <c:catAx>
        <c:axId val="1816290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316935"/>
        <c:crosses val="autoZero"/>
        <c:auto val="1"/>
        <c:lblAlgn val="ctr"/>
        <c:lblOffset val="100"/>
        <c:noMultiLvlLbl val="0"/>
      </c:catAx>
      <c:valAx>
        <c:axId val="1816316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290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13</xdr:col>
      <xdr:colOff>590550</xdr:colOff>
      <xdr:row>26</xdr:row>
      <xdr:rowOff>28575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32285538-77A3-6D10-29B5-8BE142213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0</xdr:rowOff>
    </xdr:from>
    <xdr:to>
      <xdr:col>17</xdr:col>
      <xdr:colOff>285750</xdr:colOff>
      <xdr:row>33</xdr:row>
      <xdr:rowOff>171450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344765C-CB39-3DEF-4DA0-07B507E32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1581150</xdr:colOff>
      <xdr:row>0</xdr:row>
      <xdr:rowOff>9525</xdr:rowOff>
    </xdr:from>
    <xdr:to>
      <xdr:col>15</xdr:col>
      <xdr:colOff>533400</xdr:colOff>
      <xdr:row>24</xdr:row>
      <xdr:rowOff>123825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65A3333-AFDF-8998-1645-E9F362A6A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0</xdr:rowOff>
    </xdr:from>
    <xdr:to>
      <xdr:col>17</xdr:col>
      <xdr:colOff>561975</xdr:colOff>
      <xdr:row>29</xdr:row>
      <xdr:rowOff>28575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70E528DD-D463-9357-C6C1-16EB520B1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142875</xdr:rowOff>
    </xdr:from>
    <xdr:to>
      <xdr:col>18</xdr:col>
      <xdr:colOff>85725</xdr:colOff>
      <xdr:row>25</xdr:row>
      <xdr:rowOff>161925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C917A3A-5A35-DC37-DBA6-D7212C930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0.734040856485" createdVersion="8" refreshedVersion="8" minRefreshableVersion="3" recordCount="63" xr:uid="{80C5F10D-1F47-4CF9-95A2-8DD6769EA34A}">
  <cacheSource type="worksheet">
    <worksheetSource ref="A1:D64" sheet="q3_avg_items_per_order"/>
  </cacheSource>
  <cacheFields count="4">
    <cacheField name="department_name" numFmtId="0">
      <sharedItems count="21">
        <s v="alcohol"/>
        <s v="babies"/>
        <s v="bakery"/>
        <s v="beverages"/>
        <s v="breakfast"/>
        <s v="bulk"/>
        <s v="canned goods"/>
        <s v="dairy eggs"/>
        <s v="deli"/>
        <s v="dry goods pasta"/>
        <s v="frozen"/>
        <s v="household"/>
        <s v="international"/>
        <s v="meat seafood"/>
        <s v="missing"/>
        <s v="other"/>
        <s v="pantry"/>
        <s v="personal care"/>
        <s v="pets"/>
        <s v="produce"/>
        <s v="snacks"/>
      </sharedItems>
    </cacheField>
    <cacheField name="product_name" numFmtId="0">
      <sharedItems count="63">
        <s v="Sauvignon Blanc"/>
        <s v="Chardonnay"/>
        <s v="Cabernet Sauvignon"/>
        <s v="Baby Food Stage 2 Blueberry Pear &amp; Purple Carrot"/>
        <s v="Spinach Peas &amp; Pear Stage 2 Baby Food"/>
        <s v="Gluten Free SpongeBob Spinach Littles"/>
        <s v="100% Whole Wheat Bread"/>
        <s v="Organic Bread with 21 Whole Grains"/>
        <s v="Ezekiel 4:9 Bread Organic Sprouted Whole Grain"/>
        <s v="Sparkling Water Grapefruit"/>
        <s v="Spring Water"/>
        <s v="Lime Sparkling Water"/>
        <s v="Honey Nut Cheerios"/>
        <s v="Organic Old Fashioned Rolled Oats"/>
        <s v="Raisin Bran Cereal"/>
        <s v="Dried Mango"/>
        <s v="Organic Rolled Oats"/>
        <s v="Organic Black Mission Figs"/>
        <s v="Organic Black Beans"/>
        <s v="Organic Garbanzo Beans"/>
        <s v="No Salt Added Black Beans"/>
        <s v="Organic Whole Milk"/>
        <s v="Organic Half &amp; Half"/>
        <s v="Half &amp; Half"/>
        <s v="Original Hummus"/>
        <s v="Uncured Genoa Salami"/>
        <s v="Organic Extra Firm Tofu"/>
        <s v="Marinara Sauce"/>
        <s v="Organic Tomato Basil Pasta Sauce"/>
        <s v="Spaghetti"/>
        <s v="Blueberries"/>
        <s v="Organic Broccoli Florets"/>
        <s v="Organic Whole Strawberries"/>
        <s v="100% Recycled Paper Towels"/>
        <s v="Sustainably Soft Bath Tissue"/>
        <s v="Aluminum Foil"/>
        <s v="Organic Sea Salt Roasted Seaweed Snacks"/>
        <s v="Taco Seasoning"/>
        <s v="New Mexico Taco Skillet Sauce For Chicken"/>
        <s v="Boneless Skinless Chicken Breasts"/>
        <s v="Ground Turkey Breast"/>
        <s v="Boneless Skinless Chicken Breast"/>
        <s v="Organic Riced Cauliflower"/>
        <s v="Peanut Butter Ice Cream Cup"/>
        <s v="Organic Mango Yogurt"/>
        <s v="Roasted Almond Butter"/>
        <s v="Light CocoWhip! Coconut Whipped Topping"/>
        <s v="93/7 Ground Beef"/>
        <s v="Extra Virgin Olive Oil"/>
        <s v="Creamy Almond Butter"/>
        <s v="Creamy Peanut Butter"/>
        <s v="Lavender Hand Soap"/>
        <s v="Lemon Verbena Hand Soap"/>
        <s v="Premium Epsom Salt"/>
        <s v="Grain Free Chicken Formula Cat Food"/>
        <s v="Grain Free Turkey &amp; Salmon Formula Cat Food"/>
        <s v="Instant Action Cat Litter"/>
        <s v="Banana"/>
        <s v="Bag of Organic Bananas"/>
        <s v="Organic Strawberries"/>
        <s v="Lightly Salted Baked Snap Pea Crisps"/>
        <s v="Original Veggie Straws"/>
        <s v="Sea Salt Pita Chips"/>
      </sharedItems>
    </cacheField>
    <cacheField name="agregacja" numFmtId="0">
      <sharedItems containsSemiMixedTypes="0" containsString="0" containsNumber="1" containsInteger="1" minValue="1307" maxValue="472565"/>
    </cacheField>
    <cacheField name="rnk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0.776186921299" createdVersion="8" refreshedVersion="8" minRefreshableVersion="3" recordCount="10" xr:uid="{D72A81CD-95EF-4CBB-9799-573BE99F7868}">
  <cacheSource type="worksheet">
    <worksheetSource ref="A1:D11" sheet="Arkusz1"/>
  </cacheSource>
  <cacheFields count="4">
    <cacheField name="product_id" numFmtId="0">
      <sharedItems containsSemiMixedTypes="0" containsString="0" containsNumber="1" containsInteger="1" minValue="2075" maxValue="38251"/>
    </cacheField>
    <cacheField name="product_name" numFmtId="0">
      <sharedItems count="10">
        <s v="Raw Veggie Wrappers"/>
        <s v="Serenity Ultimate Extrema Overnight Pads"/>
        <s v="Chocolate Love Bar"/>
        <s v="Maca Buttercups"/>
        <s v="Sparking Water"/>
        <s v="Bars Peanut Butter"/>
        <s v="Benchbreak Chardonnay"/>
        <s v="Soy Crisps Lightly Salted"/>
        <s v="Organic Blueberry B Mega"/>
        <s v="Beer Can"/>
      </sharedItems>
    </cacheField>
    <cacheField name="reorder_rate" numFmtId="0">
      <sharedItems containsSemiMixedTypes="0" containsString="0" containsNumber="1" minValue="0.88" maxValue="0.94"/>
    </cacheField>
    <cacheField name="total_orders" numFmtId="0">
      <sharedItems containsSemiMixedTypes="0" containsString="0" containsNumber="1" containsInteger="1" minValue="52" maxValue="1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x v="0"/>
    <n v="8246"/>
    <n v="1"/>
  </r>
  <r>
    <x v="0"/>
    <x v="1"/>
    <n v="6153"/>
    <n v="2"/>
  </r>
  <r>
    <x v="0"/>
    <x v="2"/>
    <n v="6115"/>
    <n v="3"/>
  </r>
  <r>
    <x v="1"/>
    <x v="3"/>
    <n v="8793"/>
    <n v="1"/>
  </r>
  <r>
    <x v="1"/>
    <x v="4"/>
    <n v="8035"/>
    <n v="2"/>
  </r>
  <r>
    <x v="1"/>
    <x v="5"/>
    <n v="7083"/>
    <n v="3"/>
  </r>
  <r>
    <x v="2"/>
    <x v="6"/>
    <n v="60816"/>
    <n v="1"/>
  </r>
  <r>
    <x v="2"/>
    <x v="7"/>
    <n v="23006"/>
    <n v="2"/>
  </r>
  <r>
    <x v="2"/>
    <x v="8"/>
    <n v="17789"/>
    <n v="3"/>
  </r>
  <r>
    <x v="3"/>
    <x v="9"/>
    <n v="75886"/>
    <n v="1"/>
  </r>
  <r>
    <x v="3"/>
    <x v="10"/>
    <n v="56087"/>
    <n v="2"/>
  </r>
  <r>
    <x v="3"/>
    <x v="11"/>
    <n v="46546"/>
    <n v="3"/>
  </r>
  <r>
    <x v="4"/>
    <x v="12"/>
    <n v="26741"/>
    <n v="1"/>
  </r>
  <r>
    <x v="4"/>
    <x v="13"/>
    <n v="20140"/>
    <n v="2"/>
  </r>
  <r>
    <x v="4"/>
    <x v="14"/>
    <n v="15415"/>
    <n v="3"/>
  </r>
  <r>
    <x v="5"/>
    <x v="15"/>
    <n v="10150"/>
    <n v="1"/>
  </r>
  <r>
    <x v="5"/>
    <x v="16"/>
    <n v="6380"/>
    <n v="2"/>
  </r>
  <r>
    <x v="5"/>
    <x v="17"/>
    <n v="2793"/>
    <n v="3"/>
  </r>
  <r>
    <x v="6"/>
    <x v="18"/>
    <n v="38001"/>
    <n v="1"/>
  </r>
  <r>
    <x v="6"/>
    <x v="19"/>
    <n v="30055"/>
    <n v="2"/>
  </r>
  <r>
    <x v="6"/>
    <x v="20"/>
    <n v="27924"/>
    <n v="3"/>
  </r>
  <r>
    <x v="7"/>
    <x v="21"/>
    <n v="137905"/>
    <n v="1"/>
  </r>
  <r>
    <x v="7"/>
    <x v="22"/>
    <n v="76360"/>
    <n v="2"/>
  </r>
  <r>
    <x v="7"/>
    <x v="23"/>
    <n v="69217"/>
    <n v="3"/>
  </r>
  <r>
    <x v="8"/>
    <x v="24"/>
    <n v="71314"/>
    <n v="1"/>
  </r>
  <r>
    <x v="8"/>
    <x v="25"/>
    <n v="41473"/>
    <n v="2"/>
  </r>
  <r>
    <x v="8"/>
    <x v="26"/>
    <n v="29124"/>
    <n v="3"/>
  </r>
  <r>
    <x v="9"/>
    <x v="27"/>
    <n v="19998"/>
    <n v="1"/>
  </r>
  <r>
    <x v="9"/>
    <x v="28"/>
    <n v="16824"/>
    <n v="2"/>
  </r>
  <r>
    <x v="9"/>
    <x v="29"/>
    <n v="15813"/>
    <n v="3"/>
  </r>
  <r>
    <x v="10"/>
    <x v="30"/>
    <n v="55946"/>
    <n v="1"/>
  </r>
  <r>
    <x v="10"/>
    <x v="31"/>
    <n v="32887"/>
    <n v="2"/>
  </r>
  <r>
    <x v="10"/>
    <x v="32"/>
    <n v="31445"/>
    <n v="3"/>
  </r>
  <r>
    <x v="11"/>
    <x v="33"/>
    <n v="27864"/>
    <n v="1"/>
  </r>
  <r>
    <x v="11"/>
    <x v="34"/>
    <n v="18231"/>
    <n v="2"/>
  </r>
  <r>
    <x v="11"/>
    <x v="35"/>
    <n v="10774"/>
    <n v="3"/>
  </r>
  <r>
    <x v="12"/>
    <x v="36"/>
    <n v="10345"/>
    <n v="1"/>
  </r>
  <r>
    <x v="12"/>
    <x v="37"/>
    <n v="8992"/>
    <n v="2"/>
  </r>
  <r>
    <x v="12"/>
    <x v="38"/>
    <n v="4680"/>
    <n v="3"/>
  </r>
  <r>
    <x v="13"/>
    <x v="39"/>
    <n v="50281"/>
    <n v="1"/>
  </r>
  <r>
    <x v="13"/>
    <x v="40"/>
    <n v="26721"/>
    <n v="2"/>
  </r>
  <r>
    <x v="13"/>
    <x v="41"/>
    <n v="22590"/>
    <n v="3"/>
  </r>
  <r>
    <x v="14"/>
    <x v="42"/>
    <n v="8366"/>
    <n v="1"/>
  </r>
  <r>
    <x v="14"/>
    <x v="43"/>
    <n v="1933"/>
    <n v="2"/>
  </r>
  <r>
    <x v="14"/>
    <x v="44"/>
    <n v="1675"/>
    <n v="3"/>
  </r>
  <r>
    <x v="15"/>
    <x v="45"/>
    <n v="3976"/>
    <n v="1"/>
  </r>
  <r>
    <x v="15"/>
    <x v="46"/>
    <n v="1536"/>
    <n v="2"/>
  </r>
  <r>
    <x v="15"/>
    <x v="47"/>
    <n v="1307"/>
    <n v="3"/>
  </r>
  <r>
    <x v="16"/>
    <x v="48"/>
    <n v="50255"/>
    <n v="1"/>
  </r>
  <r>
    <x v="16"/>
    <x v="49"/>
    <n v="21490"/>
    <n v="2"/>
  </r>
  <r>
    <x v="16"/>
    <x v="50"/>
    <n v="20033"/>
    <n v="3"/>
  </r>
  <r>
    <x v="17"/>
    <x v="51"/>
    <n v="5941"/>
    <n v="1"/>
  </r>
  <r>
    <x v="17"/>
    <x v="52"/>
    <n v="4951"/>
    <n v="2"/>
  </r>
  <r>
    <x v="17"/>
    <x v="53"/>
    <n v="4228"/>
    <n v="3"/>
  </r>
  <r>
    <x v="18"/>
    <x v="54"/>
    <n v="1825"/>
    <n v="1"/>
  </r>
  <r>
    <x v="18"/>
    <x v="55"/>
    <n v="1560"/>
    <n v="2"/>
  </r>
  <r>
    <x v="18"/>
    <x v="56"/>
    <n v="1492"/>
    <n v="3"/>
  </r>
  <r>
    <x v="19"/>
    <x v="57"/>
    <n v="472565"/>
    <n v="1"/>
  </r>
  <r>
    <x v="19"/>
    <x v="58"/>
    <n v="379450"/>
    <n v="2"/>
  </r>
  <r>
    <x v="19"/>
    <x v="59"/>
    <n v="264683"/>
    <n v="3"/>
  </r>
  <r>
    <x v="20"/>
    <x v="60"/>
    <n v="24950"/>
    <n v="1"/>
  </r>
  <r>
    <x v="20"/>
    <x v="61"/>
    <n v="16850"/>
    <n v="2"/>
  </r>
  <r>
    <x v="20"/>
    <x v="62"/>
    <n v="16626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6433"/>
    <x v="0"/>
    <n v="0.94"/>
    <n v="68"/>
  </r>
  <r>
    <n v="2075"/>
    <x v="1"/>
    <n v="0.93"/>
    <n v="87"/>
  </r>
  <r>
    <n v="27740"/>
    <x v="2"/>
    <n v="0.92"/>
    <n v="101"/>
  </r>
  <r>
    <n v="35604"/>
    <x v="3"/>
    <n v="0.9"/>
    <n v="100"/>
  </r>
  <r>
    <n v="31418"/>
    <x v="4"/>
    <n v="0.9"/>
    <n v="60"/>
  </r>
  <r>
    <n v="36543"/>
    <x v="5"/>
    <n v="0.9"/>
    <n v="67"/>
  </r>
  <r>
    <n v="38251"/>
    <x v="6"/>
    <n v="0.89"/>
    <n v="111"/>
  </r>
  <r>
    <n v="26093"/>
    <x v="7"/>
    <n v="0.89"/>
    <n v="66"/>
  </r>
  <r>
    <n v="36801"/>
    <x v="8"/>
    <n v="0.89"/>
    <n v="96"/>
  </r>
  <r>
    <n v="34246"/>
    <x v="9"/>
    <n v="0.88"/>
    <n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51A8D-0C13-42DF-97F1-5593516FCBF2}" name="Tabela przestawna1" cacheId="222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compact="0" compactData="0" multipleFieldFilters="0" chartFormat="4">
  <location ref="A3:C23" firstHeaderRow="1" firstDataRow="1" firstDataCol="2"/>
  <pivotFields count="4">
    <pivotField axis="axisRow" compact="0" outline="0" showAll="0" sortType="ascending">
      <items count="22">
        <item h="1" x="20"/>
        <item x="19"/>
        <item h="1" x="18"/>
        <item h="1" x="17"/>
        <item h="1" x="16"/>
        <item h="1" x="15"/>
        <item h="1" x="14"/>
        <item h="1" x="13"/>
        <item h="1" x="12"/>
        <item h="1" x="11"/>
        <item x="10"/>
        <item h="1" x="9"/>
        <item x="8"/>
        <item x="7"/>
        <item h="1" x="6"/>
        <item h="1" x="5"/>
        <item h="1" x="4"/>
        <item x="3"/>
        <item h="1" x="2"/>
        <item h="1" x="1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64">
        <item x="33"/>
        <item x="6"/>
        <item x="47"/>
        <item x="35"/>
        <item x="3"/>
        <item x="58"/>
        <item x="57"/>
        <item x="30"/>
        <item x="41"/>
        <item x="39"/>
        <item x="2"/>
        <item x="1"/>
        <item x="49"/>
        <item x="50"/>
        <item x="15"/>
        <item x="48"/>
        <item x="8"/>
        <item x="5"/>
        <item x="54"/>
        <item x="55"/>
        <item x="40"/>
        <item x="23"/>
        <item x="12"/>
        <item x="56"/>
        <item x="51"/>
        <item x="52"/>
        <item x="46"/>
        <item x="60"/>
        <item x="11"/>
        <item x="27"/>
        <item x="38"/>
        <item x="20"/>
        <item x="18"/>
        <item x="17"/>
        <item x="7"/>
        <item x="31"/>
        <item x="26"/>
        <item x="19"/>
        <item x="22"/>
        <item x="44"/>
        <item x="13"/>
        <item x="42"/>
        <item x="16"/>
        <item x="36"/>
        <item x="59"/>
        <item x="28"/>
        <item x="21"/>
        <item x="32"/>
        <item x="24"/>
        <item x="61"/>
        <item x="43"/>
        <item x="53"/>
        <item x="14"/>
        <item x="45"/>
        <item x="0"/>
        <item x="62"/>
        <item x="29"/>
        <item x="9"/>
        <item x="4"/>
        <item x="10"/>
        <item x="34"/>
        <item x="37"/>
        <item x="25"/>
        <item t="default"/>
      </items>
    </pivotField>
    <pivotField dataField="1" compact="0" outline="0" showAll="0"/>
    <pivotField compact="0" outline="0" showAll="0"/>
  </pivotFields>
  <rowFields count="2">
    <field x="0"/>
    <field x="1"/>
  </rowFields>
  <rowItems count="20">
    <i>
      <x v="10"/>
      <x v="7"/>
    </i>
    <i r="1">
      <x v="35"/>
    </i>
    <i r="1">
      <x v="47"/>
    </i>
    <i t="default">
      <x v="10"/>
    </i>
    <i>
      <x v="12"/>
      <x v="36"/>
    </i>
    <i r="1">
      <x v="48"/>
    </i>
    <i r="1">
      <x v="62"/>
    </i>
    <i t="default">
      <x v="12"/>
    </i>
    <i>
      <x v="17"/>
      <x v="28"/>
    </i>
    <i r="1">
      <x v="57"/>
    </i>
    <i r="1">
      <x v="59"/>
    </i>
    <i t="default">
      <x v="17"/>
    </i>
    <i>
      <x v="13"/>
      <x v="21"/>
    </i>
    <i r="1">
      <x v="38"/>
    </i>
    <i r="1">
      <x v="46"/>
    </i>
    <i t="default">
      <x v="13"/>
    </i>
    <i>
      <x v="1"/>
      <x v="5"/>
    </i>
    <i r="1">
      <x v="6"/>
    </i>
    <i r="1">
      <x v="44"/>
    </i>
    <i t="default">
      <x v="1"/>
    </i>
  </rowItems>
  <colItems count="1">
    <i/>
  </colItems>
  <dataFields count="1">
    <dataField name="Suma z agregacja" fld="2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32D1CE-3ADA-4C94-883D-3519049C1F42}" name="Tabela przestawna3" cacheId="233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compact="0" compactData="0" multipleFieldFilters="0" chartFormat="1">
  <location ref="A3:C13" firstHeaderRow="0" firstDataRow="1" firstDataCol="1"/>
  <pivotFields count="4">
    <pivotField compact="0" outline="0" showAll="0"/>
    <pivotField name="product name" axis="axisRow" compact="0" outline="0" showAll="0">
      <items count="11">
        <item x="5"/>
        <item x="9"/>
        <item x="6"/>
        <item x="2"/>
        <item x="3"/>
        <item x="8"/>
        <item x="0"/>
        <item x="1"/>
        <item x="7"/>
        <item x="4"/>
        <item t="default"/>
      </items>
    </pivotField>
    <pivotField dataField="1" compact="0" outline="0" showAll="0"/>
    <pivotField dataField="1" compact="0" outline="0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2">
    <i>
      <x/>
    </i>
    <i i="1">
      <x v="1"/>
    </i>
  </colItems>
  <dataFields count="2">
    <dataField name="reorder rate" fld="2" baseField="0" baseItem="0"/>
    <dataField name="total order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7A13-B68B-490D-A180-4610D5484ACD}">
  <dimension ref="A1:C22"/>
  <sheetViews>
    <sheetView tabSelected="1" workbookViewId="0">
      <selection activeCell="D28" sqref="D28"/>
    </sheetView>
  </sheetViews>
  <sheetFormatPr defaultRowHeight="15"/>
  <cols>
    <col min="1" max="1" width="17.7109375" customWidth="1"/>
    <col min="2" max="2" width="16.42578125" customWidth="1"/>
    <col min="3" max="3" width="14.7109375" customWidth="1"/>
    <col min="4" max="4" width="36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0.67</v>
      </c>
      <c r="C2">
        <v>16</v>
      </c>
    </row>
    <row r="3" spans="1:3">
      <c r="A3" t="s">
        <v>4</v>
      </c>
      <c r="B3">
        <v>0.65</v>
      </c>
      <c r="C3">
        <v>4</v>
      </c>
    </row>
    <row r="4" spans="1:3">
      <c r="A4" t="s">
        <v>5</v>
      </c>
      <c r="B4">
        <v>0.65</v>
      </c>
      <c r="C4">
        <v>7</v>
      </c>
    </row>
    <row r="5" spans="1:3">
      <c r="A5" t="s">
        <v>6</v>
      </c>
      <c r="B5">
        <v>0.63</v>
      </c>
      <c r="C5">
        <v>3</v>
      </c>
    </row>
    <row r="6" spans="1:3">
      <c r="A6" t="s">
        <v>7</v>
      </c>
      <c r="B6">
        <v>0.61</v>
      </c>
      <c r="C6">
        <v>20</v>
      </c>
    </row>
    <row r="7" spans="1:3">
      <c r="A7" t="s">
        <v>8</v>
      </c>
      <c r="B7">
        <v>0.6</v>
      </c>
      <c r="C7">
        <v>8</v>
      </c>
    </row>
    <row r="8" spans="1:3">
      <c r="A8" t="s">
        <v>9</v>
      </c>
      <c r="B8">
        <v>0.57999999999999996</v>
      </c>
      <c r="C8">
        <v>10</v>
      </c>
    </row>
    <row r="9" spans="1:3">
      <c r="A9" t="s">
        <v>10</v>
      </c>
      <c r="B9">
        <v>0.57999999999999996</v>
      </c>
      <c r="C9">
        <v>18</v>
      </c>
    </row>
    <row r="10" spans="1:3">
      <c r="A10" t="s">
        <v>11</v>
      </c>
      <c r="B10">
        <v>0.56999999999999995</v>
      </c>
      <c r="C10">
        <v>5</v>
      </c>
    </row>
    <row r="11" spans="1:3">
      <c r="A11" t="s">
        <v>12</v>
      </c>
      <c r="B11">
        <v>0.56999999999999995</v>
      </c>
      <c r="C11">
        <v>12</v>
      </c>
    </row>
    <row r="12" spans="1:3">
      <c r="A12" t="s">
        <v>13</v>
      </c>
      <c r="B12">
        <v>0.56999999999999995</v>
      </c>
      <c r="C12">
        <v>19</v>
      </c>
    </row>
    <row r="13" spans="1:3">
      <c r="A13" t="s">
        <v>14</v>
      </c>
      <c r="B13">
        <v>0.56000000000000005</v>
      </c>
      <c r="C13">
        <v>14</v>
      </c>
    </row>
    <row r="14" spans="1:3">
      <c r="A14" t="s">
        <v>15</v>
      </c>
      <c r="B14">
        <v>0.54</v>
      </c>
      <c r="C14">
        <v>1</v>
      </c>
    </row>
    <row r="15" spans="1:3">
      <c r="A15" t="s">
        <v>16</v>
      </c>
      <c r="B15">
        <v>0.46</v>
      </c>
      <c r="C15">
        <v>9</v>
      </c>
    </row>
    <row r="16" spans="1:3">
      <c r="A16" t="s">
        <v>17</v>
      </c>
      <c r="B16">
        <v>0.46</v>
      </c>
      <c r="C16">
        <v>15</v>
      </c>
    </row>
    <row r="17" spans="1:3">
      <c r="A17" t="s">
        <v>18</v>
      </c>
      <c r="B17">
        <v>0.41</v>
      </c>
      <c r="C17">
        <v>2</v>
      </c>
    </row>
    <row r="18" spans="1:3">
      <c r="A18" t="s">
        <v>19</v>
      </c>
      <c r="B18">
        <v>0.4</v>
      </c>
      <c r="C18">
        <v>17</v>
      </c>
    </row>
    <row r="19" spans="1:3">
      <c r="A19" t="s">
        <v>20</v>
      </c>
      <c r="B19">
        <v>0.4</v>
      </c>
      <c r="C19">
        <v>21</v>
      </c>
    </row>
    <row r="20" spans="1:3">
      <c r="A20" t="s">
        <v>21</v>
      </c>
      <c r="B20">
        <v>0.37</v>
      </c>
      <c r="C20">
        <v>6</v>
      </c>
    </row>
    <row r="21" spans="1:3">
      <c r="A21" t="s">
        <v>22</v>
      </c>
      <c r="B21">
        <v>0.35</v>
      </c>
      <c r="C21">
        <v>13</v>
      </c>
    </row>
    <row r="22" spans="1:3">
      <c r="A22" t="s">
        <v>23</v>
      </c>
      <c r="B22">
        <v>0.32</v>
      </c>
      <c r="C22">
        <v>11</v>
      </c>
    </row>
  </sheetData>
  <sortState xmlns:xlrd2="http://schemas.microsoft.com/office/spreadsheetml/2017/richdata2" ref="A2:C22">
    <sortCondition descending="1" ref="B2:B2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1E46-5E30-4217-8F6D-9F7BB9729036}">
  <dimension ref="A3:C23"/>
  <sheetViews>
    <sheetView workbookViewId="0">
      <selection activeCell="A24" sqref="A24"/>
    </sheetView>
  </sheetViews>
  <sheetFormatPr defaultRowHeight="15"/>
  <cols>
    <col min="1" max="1" width="21.28515625" bestFit="1" customWidth="1"/>
    <col min="2" max="2" width="26.28515625" bestFit="1" customWidth="1"/>
    <col min="3" max="3" width="16.5703125" bestFit="1" customWidth="1"/>
  </cols>
  <sheetData>
    <row r="3" spans="1:3">
      <c r="A3" s="1" t="s">
        <v>0</v>
      </c>
      <c r="B3" s="1" t="s">
        <v>24</v>
      </c>
      <c r="C3" t="s">
        <v>25</v>
      </c>
    </row>
    <row r="4" spans="1:3">
      <c r="A4" t="s">
        <v>15</v>
      </c>
      <c r="B4" t="s">
        <v>26</v>
      </c>
      <c r="C4" s="2">
        <v>55946</v>
      </c>
    </row>
    <row r="5" spans="1:3">
      <c r="B5" t="s">
        <v>27</v>
      </c>
      <c r="C5" s="2">
        <v>32887</v>
      </c>
    </row>
    <row r="6" spans="1:3">
      <c r="B6" t="s">
        <v>28</v>
      </c>
      <c r="C6" s="2">
        <v>31445</v>
      </c>
    </row>
    <row r="7" spans="1:3">
      <c r="A7" t="s">
        <v>29</v>
      </c>
      <c r="C7" s="2">
        <v>120278</v>
      </c>
    </row>
    <row r="8" spans="1:3">
      <c r="A8" t="s">
        <v>7</v>
      </c>
      <c r="B8" t="s">
        <v>30</v>
      </c>
      <c r="C8" s="2">
        <v>29124</v>
      </c>
    </row>
    <row r="9" spans="1:3">
      <c r="B9" t="s">
        <v>31</v>
      </c>
      <c r="C9" s="2">
        <v>71314</v>
      </c>
    </row>
    <row r="10" spans="1:3">
      <c r="B10" t="s">
        <v>32</v>
      </c>
      <c r="C10" s="2">
        <v>41473</v>
      </c>
    </row>
    <row r="11" spans="1:3">
      <c r="A11" t="s">
        <v>33</v>
      </c>
      <c r="C11" s="2">
        <v>141911</v>
      </c>
    </row>
    <row r="12" spans="1:3">
      <c r="A12" t="s">
        <v>5</v>
      </c>
      <c r="B12" t="s">
        <v>34</v>
      </c>
      <c r="C12" s="2">
        <v>46546</v>
      </c>
    </row>
    <row r="13" spans="1:3">
      <c r="B13" t="s">
        <v>35</v>
      </c>
      <c r="C13" s="2">
        <v>75886</v>
      </c>
    </row>
    <row r="14" spans="1:3">
      <c r="B14" t="s">
        <v>36</v>
      </c>
      <c r="C14" s="2">
        <v>56087</v>
      </c>
    </row>
    <row r="15" spans="1:3">
      <c r="A15" t="s">
        <v>37</v>
      </c>
      <c r="C15" s="2">
        <v>178519</v>
      </c>
    </row>
    <row r="16" spans="1:3">
      <c r="A16" t="s">
        <v>3</v>
      </c>
      <c r="B16" t="s">
        <v>38</v>
      </c>
      <c r="C16" s="2">
        <v>69217</v>
      </c>
    </row>
    <row r="17" spans="1:3">
      <c r="B17" t="s">
        <v>39</v>
      </c>
      <c r="C17" s="2">
        <v>76360</v>
      </c>
    </row>
    <row r="18" spans="1:3">
      <c r="B18" t="s">
        <v>40</v>
      </c>
      <c r="C18" s="2">
        <v>137905</v>
      </c>
    </row>
    <row r="19" spans="1:3">
      <c r="A19" t="s">
        <v>41</v>
      </c>
      <c r="C19" s="2">
        <v>283482</v>
      </c>
    </row>
    <row r="20" spans="1:3">
      <c r="A20" t="s">
        <v>4</v>
      </c>
      <c r="B20" t="s">
        <v>42</v>
      </c>
      <c r="C20" s="2">
        <v>379450</v>
      </c>
    </row>
    <row r="21" spans="1:3">
      <c r="B21" t="s">
        <v>43</v>
      </c>
      <c r="C21" s="2">
        <v>472565</v>
      </c>
    </row>
    <row r="22" spans="1:3">
      <c r="B22" t="s">
        <v>44</v>
      </c>
      <c r="C22" s="2">
        <v>264683</v>
      </c>
    </row>
    <row r="23" spans="1:3">
      <c r="A23" t="s">
        <v>45</v>
      </c>
      <c r="C23" s="2">
        <v>1116698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E86F-DAD6-4EB0-A36B-783AD0258B85}">
  <dimension ref="A1:D22"/>
  <sheetViews>
    <sheetView workbookViewId="0">
      <selection activeCell="A26" sqref="A26"/>
    </sheetView>
  </sheetViews>
  <sheetFormatPr defaultRowHeight="15"/>
  <cols>
    <col min="1" max="1" width="43.7109375" customWidth="1"/>
    <col min="2" max="2" width="23.85546875" customWidth="1"/>
    <col min="3" max="3" width="11.5703125" customWidth="1"/>
    <col min="4" max="4" width="10.7109375" bestFit="1" customWidth="1"/>
  </cols>
  <sheetData>
    <row r="1" spans="1:4">
      <c r="A1" t="s">
        <v>0</v>
      </c>
      <c r="B1" s="3" t="s">
        <v>46</v>
      </c>
    </row>
    <row r="2" spans="1:4">
      <c r="A2" t="s">
        <v>4</v>
      </c>
      <c r="B2">
        <v>3.93</v>
      </c>
      <c r="D2" s="4"/>
    </row>
    <row r="3" spans="1:4">
      <c r="A3" t="s">
        <v>3</v>
      </c>
      <c r="B3">
        <v>2.4900000000000002</v>
      </c>
    </row>
    <row r="4" spans="1:4">
      <c r="A4" t="s">
        <v>10</v>
      </c>
      <c r="B4">
        <v>2.38</v>
      </c>
    </row>
    <row r="5" spans="1:4">
      <c r="A5" t="s">
        <v>13</v>
      </c>
      <c r="B5">
        <v>2.08</v>
      </c>
    </row>
    <row r="6" spans="1:4">
      <c r="A6" t="s">
        <v>15</v>
      </c>
      <c r="B6">
        <v>1.89</v>
      </c>
    </row>
    <row r="7" spans="1:4">
      <c r="A7" t="s">
        <v>5</v>
      </c>
      <c r="B7">
        <v>1.85</v>
      </c>
    </row>
    <row r="8" spans="1:4">
      <c r="A8" t="s">
        <v>11</v>
      </c>
      <c r="B8">
        <v>1.81</v>
      </c>
    </row>
    <row r="9" spans="1:4">
      <c r="A9" t="s">
        <v>22</v>
      </c>
      <c r="B9">
        <v>1.68</v>
      </c>
    </row>
    <row r="10" spans="1:4">
      <c r="A10" t="s">
        <v>8</v>
      </c>
      <c r="B10">
        <v>1.65</v>
      </c>
    </row>
    <row r="11" spans="1:4">
      <c r="A11" t="s">
        <v>17</v>
      </c>
      <c r="B11">
        <v>1.57</v>
      </c>
    </row>
    <row r="12" spans="1:4">
      <c r="A12" t="s">
        <v>19</v>
      </c>
      <c r="B12">
        <v>1.57</v>
      </c>
    </row>
    <row r="13" spans="1:4">
      <c r="A13" t="s">
        <v>16</v>
      </c>
      <c r="B13">
        <v>1.45</v>
      </c>
    </row>
    <row r="14" spans="1:4">
      <c r="A14" t="s">
        <v>23</v>
      </c>
      <c r="B14">
        <v>1.4</v>
      </c>
    </row>
    <row r="15" spans="1:4">
      <c r="A15" t="s">
        <v>7</v>
      </c>
      <c r="B15">
        <v>1.36</v>
      </c>
    </row>
    <row r="16" spans="1:4">
      <c r="A16" t="s">
        <v>14</v>
      </c>
      <c r="B16">
        <v>1.35</v>
      </c>
    </row>
    <row r="17" spans="1:2">
      <c r="A17" t="s">
        <v>6</v>
      </c>
      <c r="B17">
        <v>1.33</v>
      </c>
    </row>
    <row r="18" spans="1:2">
      <c r="A18" t="s">
        <v>12</v>
      </c>
      <c r="B18">
        <v>1.23</v>
      </c>
    </row>
    <row r="19" spans="1:2">
      <c r="A19" t="s">
        <v>21</v>
      </c>
      <c r="B19">
        <v>1.22</v>
      </c>
    </row>
    <row r="20" spans="1:2">
      <c r="A20" t="s">
        <v>20</v>
      </c>
      <c r="B20">
        <v>1.1599999999999999</v>
      </c>
    </row>
    <row r="21" spans="1:2">
      <c r="A21" t="s">
        <v>18</v>
      </c>
      <c r="B21">
        <v>1.04</v>
      </c>
    </row>
    <row r="22" spans="1:2">
      <c r="A22" t="s">
        <v>9</v>
      </c>
      <c r="B22">
        <v>1.02</v>
      </c>
    </row>
  </sheetData>
  <sortState xmlns:xlrd2="http://schemas.microsoft.com/office/spreadsheetml/2017/richdata2" ref="A2:B22">
    <sortCondition descending="1" ref="B2:B2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B5A8-2B9A-4A54-9D3A-497A1CE87009}">
  <dimension ref="A1:D2"/>
  <sheetViews>
    <sheetView workbookViewId="0">
      <selection activeCell="B4" sqref="B4"/>
    </sheetView>
  </sheetViews>
  <sheetFormatPr defaultRowHeight="15"/>
  <cols>
    <col min="1" max="1" width="22.28515625" customWidth="1"/>
    <col min="2" max="2" width="19.140625" customWidth="1"/>
    <col min="3" max="3" width="18" customWidth="1"/>
    <col min="4" max="4" width="22.7109375" customWidth="1"/>
  </cols>
  <sheetData>
    <row r="1" spans="1:4">
      <c r="A1" t="s">
        <v>47</v>
      </c>
      <c r="B1" t="s">
        <v>48</v>
      </c>
      <c r="C1" t="s">
        <v>49</v>
      </c>
      <c r="D1" t="s">
        <v>50</v>
      </c>
    </row>
    <row r="2" spans="1:4">
      <c r="A2">
        <v>10.09</v>
      </c>
      <c r="B2">
        <v>1</v>
      </c>
      <c r="C2">
        <v>145</v>
      </c>
      <c r="D2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6B033-279C-4ECE-A9DA-22916D1A4CA0}">
  <dimension ref="A1:D31"/>
  <sheetViews>
    <sheetView workbookViewId="0">
      <selection activeCell="P33" sqref="P33"/>
    </sheetView>
  </sheetViews>
  <sheetFormatPr defaultRowHeight="15"/>
  <cols>
    <col min="1" max="1" width="28.7109375" customWidth="1"/>
    <col min="2" max="2" width="49.28515625" customWidth="1"/>
    <col min="3" max="3" width="23.42578125" customWidth="1"/>
    <col min="4" max="4" width="23.140625" customWidth="1"/>
  </cols>
  <sheetData>
    <row r="1" spans="1:4">
      <c r="A1" t="s">
        <v>51</v>
      </c>
      <c r="B1" t="s">
        <v>24</v>
      </c>
      <c r="C1" t="s">
        <v>52</v>
      </c>
      <c r="D1" t="s">
        <v>1</v>
      </c>
    </row>
    <row r="2" spans="1:4">
      <c r="A2">
        <v>36904</v>
      </c>
      <c r="B2" t="s">
        <v>53</v>
      </c>
      <c r="C2">
        <v>67</v>
      </c>
      <c r="D2">
        <v>0</v>
      </c>
    </row>
    <row r="3" spans="1:4">
      <c r="A3">
        <v>42461</v>
      </c>
      <c r="B3" t="s">
        <v>54</v>
      </c>
      <c r="C3">
        <v>51</v>
      </c>
      <c r="D3">
        <v>0</v>
      </c>
    </row>
    <row r="4" spans="1:4">
      <c r="A4">
        <v>28116</v>
      </c>
      <c r="B4" t="s">
        <v>55</v>
      </c>
      <c r="C4">
        <v>52</v>
      </c>
      <c r="D4">
        <v>0</v>
      </c>
    </row>
    <row r="5" spans="1:4">
      <c r="A5">
        <v>32568</v>
      </c>
      <c r="B5" t="s">
        <v>56</v>
      </c>
      <c r="C5">
        <v>88</v>
      </c>
      <c r="D5">
        <v>0</v>
      </c>
    </row>
    <row r="6" spans="1:4">
      <c r="A6">
        <v>37673</v>
      </c>
      <c r="B6" t="s">
        <v>57</v>
      </c>
      <c r="C6">
        <v>63</v>
      </c>
      <c r="D6">
        <v>0</v>
      </c>
    </row>
    <row r="7" spans="1:4">
      <c r="A7">
        <v>22339</v>
      </c>
      <c r="B7" t="s">
        <v>58</v>
      </c>
      <c r="C7">
        <v>53</v>
      </c>
      <c r="D7">
        <v>0</v>
      </c>
    </row>
    <row r="8" spans="1:4">
      <c r="A8">
        <v>11672</v>
      </c>
      <c r="B8" t="s">
        <v>59</v>
      </c>
      <c r="C8">
        <v>203</v>
      </c>
      <c r="D8">
        <v>0</v>
      </c>
    </row>
    <row r="9" spans="1:4">
      <c r="A9">
        <v>24322</v>
      </c>
      <c r="B9" t="s">
        <v>60</v>
      </c>
      <c r="C9">
        <v>51</v>
      </c>
      <c r="D9">
        <v>0</v>
      </c>
    </row>
    <row r="10" spans="1:4">
      <c r="A10">
        <v>13235</v>
      </c>
      <c r="B10" t="s">
        <v>61</v>
      </c>
      <c r="C10">
        <v>52</v>
      </c>
      <c r="D10">
        <v>0</v>
      </c>
    </row>
    <row r="11" spans="1:4">
      <c r="A11">
        <v>9966</v>
      </c>
      <c r="B11" t="s">
        <v>62</v>
      </c>
      <c r="C11">
        <v>77</v>
      </c>
      <c r="D11">
        <v>0.01</v>
      </c>
    </row>
    <row r="31" spans="3:4">
      <c r="C31" s="5"/>
      <c r="D31" s="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599E-E6C8-45D4-A051-9D5EB4E66C43}">
  <dimension ref="A3:C13"/>
  <sheetViews>
    <sheetView workbookViewId="0">
      <selection activeCell="B14" sqref="B14"/>
    </sheetView>
  </sheetViews>
  <sheetFormatPr defaultRowHeight="15"/>
  <cols>
    <col min="1" max="1" width="38.85546875" bestFit="1" customWidth="1"/>
    <col min="2" max="2" width="12" bestFit="1" customWidth="1"/>
    <col min="3" max="3" width="11.5703125" bestFit="1" customWidth="1"/>
  </cols>
  <sheetData>
    <row r="3" spans="1:3">
      <c r="A3" s="1" t="s">
        <v>63</v>
      </c>
      <c r="B3" t="s">
        <v>64</v>
      </c>
      <c r="C3" t="s">
        <v>65</v>
      </c>
    </row>
    <row r="4" spans="1:3">
      <c r="A4" t="s">
        <v>66</v>
      </c>
      <c r="B4" s="2">
        <v>0.9</v>
      </c>
      <c r="C4" s="2">
        <v>67</v>
      </c>
    </row>
    <row r="5" spans="1:3">
      <c r="A5" t="s">
        <v>67</v>
      </c>
      <c r="B5" s="2">
        <v>0.88</v>
      </c>
      <c r="C5" s="2">
        <v>52</v>
      </c>
    </row>
    <row r="6" spans="1:3">
      <c r="A6" t="s">
        <v>68</v>
      </c>
      <c r="B6" s="2">
        <v>0.89</v>
      </c>
      <c r="C6" s="2">
        <v>111</v>
      </c>
    </row>
    <row r="7" spans="1:3">
      <c r="A7" t="s">
        <v>69</v>
      </c>
      <c r="B7" s="2">
        <v>0.92</v>
      </c>
      <c r="C7" s="2">
        <v>101</v>
      </c>
    </row>
    <row r="8" spans="1:3">
      <c r="A8" t="s">
        <v>70</v>
      </c>
      <c r="B8" s="2">
        <v>0.9</v>
      </c>
      <c r="C8" s="2">
        <v>100</v>
      </c>
    </row>
    <row r="9" spans="1:3">
      <c r="A9" t="s">
        <v>71</v>
      </c>
      <c r="B9" s="2">
        <v>0.89</v>
      </c>
      <c r="C9" s="2">
        <v>96</v>
      </c>
    </row>
    <row r="10" spans="1:3">
      <c r="A10" t="s">
        <v>72</v>
      </c>
      <c r="B10" s="2">
        <v>0.94</v>
      </c>
      <c r="C10" s="2">
        <v>68</v>
      </c>
    </row>
    <row r="11" spans="1:3">
      <c r="A11" t="s">
        <v>73</v>
      </c>
      <c r="B11" s="2">
        <v>0.93</v>
      </c>
      <c r="C11" s="2">
        <v>87</v>
      </c>
    </row>
    <row r="12" spans="1:3">
      <c r="A12" t="s">
        <v>74</v>
      </c>
      <c r="B12" s="2">
        <v>0.89</v>
      </c>
      <c r="C12" s="2">
        <v>66</v>
      </c>
    </row>
    <row r="13" spans="1:3">
      <c r="A13" t="s">
        <v>75</v>
      </c>
      <c r="B13" s="2">
        <v>0.9</v>
      </c>
      <c r="C13" s="2">
        <v>60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2026-07-26T14:55:50Z</dcterms:created>
  <dcterms:modified xsi:type="dcterms:W3CDTF">2026-07-27T19:47:42Z</dcterms:modified>
  <cp:category/>
  <cp:contentStatus/>
</cp:coreProperties>
</file>